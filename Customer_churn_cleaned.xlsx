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b65138d592a9d1e/Documents/Churn_and_Retention_Analysis/"/>
    </mc:Choice>
  </mc:AlternateContent>
  <xr:revisionPtr revIDLastSave="112" documentId="11_F25DC773A252ABDACC10487D091A4A825ADE58EE" xr6:coauthVersionLast="47" xr6:coauthVersionMax="47" xr10:uidLastSave="{F2A1C11F-965B-4935-BE88-DC40056FE81B}"/>
  <bookViews>
    <workbookView xWindow="-96" yWindow="0" windowWidth="11712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K11" i="1"/>
  <c r="K2" i="1"/>
  <c r="K3" i="1"/>
  <c r="K4" i="1"/>
  <c r="K5" i="1"/>
  <c r="K6" i="1"/>
  <c r="K7" i="1"/>
  <c r="K8" i="1"/>
  <c r="K9" i="1"/>
  <c r="K10" i="1"/>
  <c r="J2" i="1"/>
  <c r="J3" i="1"/>
  <c r="J4" i="1"/>
  <c r="J5" i="1"/>
  <c r="J6" i="1"/>
  <c r="J7" i="1"/>
  <c r="J8" i="1"/>
  <c r="J9" i="1"/>
  <c r="J10" i="1"/>
  <c r="J11" i="1"/>
</calcChain>
</file>

<file path=xl/sharedStrings.xml><?xml version="1.0" encoding="utf-8"?>
<sst xmlns="http://schemas.openxmlformats.org/spreadsheetml/2006/main" count="62" uniqueCount="32">
  <si>
    <t>CustomerID</t>
  </si>
  <si>
    <t>Age</t>
  </si>
  <si>
    <t>Gender</t>
  </si>
  <si>
    <t>Tenure_Months</t>
  </si>
  <si>
    <t>Contract_Type</t>
  </si>
  <si>
    <t>Monthly_Charges</t>
  </si>
  <si>
    <t>Total_Charges</t>
  </si>
  <si>
    <t>Payment_Method</t>
  </si>
  <si>
    <t>Churn</t>
  </si>
  <si>
    <t>C001</t>
  </si>
  <si>
    <t>Female</t>
  </si>
  <si>
    <t>Month-to-Month</t>
  </si>
  <si>
    <t>Electronic Check</t>
  </si>
  <si>
    <t>Yes</t>
  </si>
  <si>
    <t>C002</t>
  </si>
  <si>
    <t>Male</t>
  </si>
  <si>
    <t>One Year</t>
  </si>
  <si>
    <t>Credit Card</t>
  </si>
  <si>
    <t>No</t>
  </si>
  <si>
    <t>C003</t>
  </si>
  <si>
    <t>C004</t>
  </si>
  <si>
    <t>Two Year</t>
  </si>
  <si>
    <t>Bank Transfer</t>
  </si>
  <si>
    <t>C005</t>
  </si>
  <si>
    <t>C006</t>
  </si>
  <si>
    <t>C007</t>
  </si>
  <si>
    <t>C008</t>
  </si>
  <si>
    <t>C009</t>
  </si>
  <si>
    <t>C010</t>
  </si>
  <si>
    <t>Churn_Flag</t>
  </si>
  <si>
    <t>Tenure_Group</t>
  </si>
  <si>
    <t>Avg_Montly_Spend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</si>
</sst>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4219C2-6C1E-4670-950A-D245875A6A0C}" name="Table1" displayName="Table1" ref="A1:L11" totalsRowShown="0">
  <autoFilter ref="A1:L11" xr:uid="{934219C2-6C1E-4670-950A-D245875A6A0C}"/>
  <tableColumns count="12">
    <tableColumn id="1" xr3:uid="{E9EEFC6E-0A63-47A3-B735-B0E14D769CFE}" name="CustomerID"/>
    <tableColumn id="2" xr3:uid="{CBC575E5-EEED-4A4A-AE2B-F6BE4A82523E}" name="Age"/>
    <tableColumn id="3" xr3:uid="{F547FC31-0BFC-4E6F-B322-015290768EC5}" name="Gender"/>
    <tableColumn id="4" xr3:uid="{4B1E3882-23FA-4699-B60D-99341DAF3525}" name="Tenure_Months"/>
    <tableColumn id="5" xr3:uid="{44D4CD68-3E47-4D3E-AC71-174DA5D7F04C}" name="Contract_Type"/>
    <tableColumn id="6" xr3:uid="{32C412B7-7A2E-4A1C-A75C-1FF8362E40AF}" name="Monthly_Charges"/>
    <tableColumn id="7" xr3:uid="{260C8582-4BEC-4FB0-9574-E7D65F5C069D}" name="Total_Charges"/>
    <tableColumn id="8" xr3:uid="{BB033A65-AB4E-4179-A845-A4F904665920}" name="Payment_Method"/>
    <tableColumn id="9" xr3:uid="{8D59457E-A23F-478E-92EB-48CB4BF6D855}" name="Churn"/>
    <tableColumn id="10" xr3:uid="{58F0137B-B093-4178-9028-4ED5732B3FE9}" name="Churn_Flag" dataDxfId="2">
      <calculatedColumnFormula>IF(Table1[[#This Row],[Churn]]="Yes",1,0)</calculatedColumnFormula>
    </tableColumn>
    <tableColumn id="11" xr3:uid="{E9254B1B-6B20-4719-BD97-775D74577DC1}" name="Tenure_Group" dataDxfId="1">
      <calculatedColumnFormula>IF(D2&lt;=6, "0-6 Months", IF(D2&lt;=12, "6-12 Months", "12+Months"))</calculatedColumnFormula>
    </tableColumn>
    <tableColumn id="12" xr3:uid="{93C5A0D6-DE65-4018-A7DA-CFDE043D8EAB}" name="Avg_Montly_Spend" dataDxfId="0">
      <calculatedColumnFormula>IF(D2=0, F2, G2/D2)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topLeftCell="F1" workbookViewId="0">
      <selection activeCell="K2" sqref="K2"/>
    </sheetView>
  </sheetViews>
  <sheetFormatPr defaultRowHeight="14.4" x14ac:dyDescent="0.3"/>
  <cols>
    <col min="1" max="1" width="12.77734375" customWidth="1"/>
    <col min="2" max="3" width="10.44140625" customWidth="1"/>
    <col min="4" max="4" width="16.33203125" customWidth="1"/>
    <col min="5" max="5" width="15.21875" customWidth="1"/>
    <col min="6" max="6" width="17.77734375" customWidth="1"/>
    <col min="7" max="7" width="14.77734375" customWidth="1"/>
    <col min="8" max="8" width="18.21875" customWidth="1"/>
    <col min="9" max="10" width="10.44140625" customWidth="1"/>
    <col min="11" max="11" width="11.441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29</v>
      </c>
      <c r="K1" t="s">
        <v>30</v>
      </c>
      <c r="L1" t="s">
        <v>31</v>
      </c>
    </row>
    <row r="2" spans="1:12" x14ac:dyDescent="0.3">
      <c r="A2" t="s">
        <v>9</v>
      </c>
      <c r="B2">
        <v>25</v>
      </c>
      <c r="C2" t="s">
        <v>10</v>
      </c>
      <c r="D2">
        <v>2</v>
      </c>
      <c r="E2" t="s">
        <v>11</v>
      </c>
      <c r="F2">
        <v>60</v>
      </c>
      <c r="G2">
        <v>120</v>
      </c>
      <c r="H2" t="s">
        <v>12</v>
      </c>
      <c r="I2" t="s">
        <v>13</v>
      </c>
      <c r="J2">
        <f>IF(Table1[[#This Row],[Churn]]="Yes",1,0)</f>
        <v>1</v>
      </c>
      <c r="K2" t="str">
        <f t="shared" ref="K2:K11" si="0">IF(D2&lt;=6, "0-6 Months", IF(D2&lt;=12, "6-12 Months", "12+Months"))</f>
        <v>0-6 Months</v>
      </c>
      <c r="L2">
        <f t="shared" ref="L2:L11" si="1">IF(D2=0, F2, G2/D2)</f>
        <v>60</v>
      </c>
    </row>
    <row r="3" spans="1:12" x14ac:dyDescent="0.3">
      <c r="A3" t="s">
        <v>14</v>
      </c>
      <c r="B3">
        <v>34</v>
      </c>
      <c r="C3" t="s">
        <v>15</v>
      </c>
      <c r="D3">
        <v>14</v>
      </c>
      <c r="E3" t="s">
        <v>16</v>
      </c>
      <c r="F3">
        <v>75</v>
      </c>
      <c r="G3">
        <v>1050</v>
      </c>
      <c r="H3" t="s">
        <v>17</v>
      </c>
      <c r="I3" t="s">
        <v>18</v>
      </c>
      <c r="J3">
        <f>IF(Table1[[#This Row],[Churn]]="Yes",1,0)</f>
        <v>0</v>
      </c>
      <c r="K3" t="str">
        <f t="shared" si="0"/>
        <v>12+Months</v>
      </c>
      <c r="L3">
        <f t="shared" si="1"/>
        <v>75</v>
      </c>
    </row>
    <row r="4" spans="1:12" x14ac:dyDescent="0.3">
      <c r="A4" t="s">
        <v>19</v>
      </c>
      <c r="B4">
        <v>29</v>
      </c>
      <c r="C4" t="s">
        <v>10</v>
      </c>
      <c r="D4">
        <v>5</v>
      </c>
      <c r="E4" t="s">
        <v>11</v>
      </c>
      <c r="F4">
        <v>65</v>
      </c>
      <c r="G4">
        <v>325</v>
      </c>
      <c r="H4" t="s">
        <v>12</v>
      </c>
      <c r="I4" t="s">
        <v>13</v>
      </c>
      <c r="J4">
        <f>IF(Table1[[#This Row],[Churn]]="Yes",1,0)</f>
        <v>1</v>
      </c>
      <c r="K4" t="str">
        <f t="shared" si="0"/>
        <v>0-6 Months</v>
      </c>
      <c r="L4">
        <f t="shared" si="1"/>
        <v>65</v>
      </c>
    </row>
    <row r="5" spans="1:12" x14ac:dyDescent="0.3">
      <c r="A5" t="s">
        <v>20</v>
      </c>
      <c r="B5">
        <v>45</v>
      </c>
      <c r="C5" t="s">
        <v>15</v>
      </c>
      <c r="D5">
        <v>36</v>
      </c>
      <c r="E5" t="s">
        <v>21</v>
      </c>
      <c r="F5">
        <v>85</v>
      </c>
      <c r="G5">
        <v>3060</v>
      </c>
      <c r="H5" t="s">
        <v>22</v>
      </c>
      <c r="I5" t="s">
        <v>18</v>
      </c>
      <c r="J5">
        <f>IF(Table1[[#This Row],[Churn]]="Yes",1,0)</f>
        <v>0</v>
      </c>
      <c r="K5" t="str">
        <f t="shared" si="0"/>
        <v>12+Months</v>
      </c>
      <c r="L5">
        <f t="shared" si="1"/>
        <v>85</v>
      </c>
    </row>
    <row r="6" spans="1:12" x14ac:dyDescent="0.3">
      <c r="A6" t="s">
        <v>23</v>
      </c>
      <c r="B6">
        <v>41</v>
      </c>
      <c r="C6" t="s">
        <v>10</v>
      </c>
      <c r="D6">
        <v>12</v>
      </c>
      <c r="E6" t="s">
        <v>16</v>
      </c>
      <c r="F6">
        <v>70</v>
      </c>
      <c r="G6">
        <v>840</v>
      </c>
      <c r="H6" t="s">
        <v>17</v>
      </c>
      <c r="I6" t="s">
        <v>18</v>
      </c>
      <c r="J6">
        <f>IF(Table1[[#This Row],[Churn]]="Yes",1,0)</f>
        <v>0</v>
      </c>
      <c r="K6" t="str">
        <f t="shared" si="0"/>
        <v>6-12 Months</v>
      </c>
      <c r="L6">
        <f t="shared" si="1"/>
        <v>70</v>
      </c>
    </row>
    <row r="7" spans="1:12" x14ac:dyDescent="0.3">
      <c r="A7" t="s">
        <v>24</v>
      </c>
      <c r="B7">
        <v>23</v>
      </c>
      <c r="C7" t="s">
        <v>15</v>
      </c>
      <c r="D7">
        <v>1</v>
      </c>
      <c r="E7" t="s">
        <v>11</v>
      </c>
      <c r="F7">
        <v>55</v>
      </c>
      <c r="G7">
        <v>55</v>
      </c>
      <c r="H7" t="s">
        <v>12</v>
      </c>
      <c r="I7" t="s">
        <v>13</v>
      </c>
      <c r="J7">
        <f>IF(Table1[[#This Row],[Churn]]="Yes",1,0)</f>
        <v>1</v>
      </c>
      <c r="K7" t="str">
        <f t="shared" si="0"/>
        <v>0-6 Months</v>
      </c>
      <c r="L7">
        <f t="shared" si="1"/>
        <v>55</v>
      </c>
    </row>
    <row r="8" spans="1:12" x14ac:dyDescent="0.3">
      <c r="A8" t="s">
        <v>25</v>
      </c>
      <c r="B8">
        <v>38</v>
      </c>
      <c r="C8" t="s">
        <v>10</v>
      </c>
      <c r="D8">
        <v>20</v>
      </c>
      <c r="E8" t="s">
        <v>16</v>
      </c>
      <c r="F8">
        <v>80</v>
      </c>
      <c r="G8">
        <v>1600</v>
      </c>
      <c r="H8" t="s">
        <v>22</v>
      </c>
      <c r="I8" t="s">
        <v>18</v>
      </c>
      <c r="J8">
        <f>IF(Table1[[#This Row],[Churn]]="Yes",1,0)</f>
        <v>0</v>
      </c>
      <c r="K8" t="str">
        <f t="shared" si="0"/>
        <v>12+Months</v>
      </c>
      <c r="L8">
        <f t="shared" si="1"/>
        <v>80</v>
      </c>
    </row>
    <row r="9" spans="1:12" x14ac:dyDescent="0.3">
      <c r="A9" t="s">
        <v>26</v>
      </c>
      <c r="B9">
        <v>50</v>
      </c>
      <c r="C9" t="s">
        <v>15</v>
      </c>
      <c r="D9">
        <v>48</v>
      </c>
      <c r="E9" t="s">
        <v>21</v>
      </c>
      <c r="F9">
        <v>95</v>
      </c>
      <c r="G9">
        <v>4560</v>
      </c>
      <c r="H9" t="s">
        <v>17</v>
      </c>
      <c r="I9" t="s">
        <v>18</v>
      </c>
      <c r="J9">
        <f>IF(Table1[[#This Row],[Churn]]="Yes",1,0)</f>
        <v>0</v>
      </c>
      <c r="K9" t="str">
        <f t="shared" si="0"/>
        <v>12+Months</v>
      </c>
      <c r="L9">
        <f t="shared" si="1"/>
        <v>95</v>
      </c>
    </row>
    <row r="10" spans="1:12" x14ac:dyDescent="0.3">
      <c r="A10" t="s">
        <v>27</v>
      </c>
      <c r="B10">
        <v>31</v>
      </c>
      <c r="C10" t="s">
        <v>10</v>
      </c>
      <c r="D10">
        <v>6</v>
      </c>
      <c r="E10" t="s">
        <v>11</v>
      </c>
      <c r="F10">
        <v>62</v>
      </c>
      <c r="G10">
        <v>372</v>
      </c>
      <c r="H10" t="s">
        <v>12</v>
      </c>
      <c r="I10" t="s">
        <v>13</v>
      </c>
      <c r="J10">
        <f>IF(Table1[[#This Row],[Churn]]="Yes",1,0)</f>
        <v>1</v>
      </c>
      <c r="K10" t="str">
        <f t="shared" si="0"/>
        <v>0-6 Months</v>
      </c>
      <c r="L10">
        <f t="shared" si="1"/>
        <v>62</v>
      </c>
    </row>
    <row r="11" spans="1:12" x14ac:dyDescent="0.3">
      <c r="A11" t="s">
        <v>28</v>
      </c>
      <c r="B11">
        <v>57</v>
      </c>
      <c r="C11" t="s">
        <v>15</v>
      </c>
      <c r="D11">
        <v>60</v>
      </c>
      <c r="E11" t="s">
        <v>21</v>
      </c>
      <c r="F11">
        <v>100</v>
      </c>
      <c r="G11">
        <v>6000</v>
      </c>
      <c r="H11" t="s">
        <v>22</v>
      </c>
      <c r="I11" t="s">
        <v>18</v>
      </c>
      <c r="J11">
        <f>IF(Table1[[#This Row],[Churn]]="Yes",1,0)</f>
        <v>0</v>
      </c>
      <c r="K11" t="str">
        <f t="shared" si="0"/>
        <v>12+Months</v>
      </c>
      <c r="L11">
        <f t="shared" si="1"/>
        <v>100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ashika ashika</dc:creator>
  <cp:lastModifiedBy>ashika ashika</cp:lastModifiedBy>
  <dcterms:created xsi:type="dcterms:W3CDTF">2015-06-05T18:17:20Z</dcterms:created>
  <dcterms:modified xsi:type="dcterms:W3CDTF">2026-01-13T14:22:36Z</dcterms:modified>
</cp:coreProperties>
</file>